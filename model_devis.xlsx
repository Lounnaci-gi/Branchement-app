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ranchement-app\"/>
    </mc:Choice>
  </mc:AlternateContent>
  <xr:revisionPtr revIDLastSave="0" documentId="8_{E9ECC14B-D277-4834-B20D-D7CEC07CA347}" xr6:coauthVersionLast="47" xr6:coauthVersionMax="47" xr10:uidLastSave="{00000000-0000-0000-0000-000000000000}"/>
  <bookViews>
    <workbookView xWindow="-120" yWindow="-120" windowWidth="29040" windowHeight="15720" xr2:uid="{94143481-6B55-4D64-9DE6-83F480C645EC}"/>
  </bookViews>
  <sheets>
    <sheet name="ZIOUCHE BOUALEM " sheetId="1" r:id="rId1"/>
  </sheets>
  <definedNames>
    <definedName name="_xlnm.Print_Area" localSheetId="0">'ZIOUCHE BOUALEM '!$A$1:$J$94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2" i="1" l="1"/>
  <c r="H80" i="1"/>
  <c r="H79" i="1"/>
  <c r="H78" i="1"/>
  <c r="H77" i="1"/>
  <c r="H76" i="1"/>
  <c r="H75" i="1"/>
  <c r="H74" i="1"/>
  <c r="H73" i="1"/>
  <c r="H71" i="1"/>
  <c r="H83" i="1" l="1"/>
  <c r="H84" i="1" s="1"/>
</calcChain>
</file>

<file path=xl/sharedStrings.xml><?xml version="1.0" encoding="utf-8"?>
<sst xmlns="http://schemas.openxmlformats.org/spreadsheetml/2006/main" count="75" uniqueCount="39">
  <si>
    <t>الجزائرية للمياه</t>
  </si>
  <si>
    <r>
      <t>ⵜⴰⵣⵣⴰⵢⵔⵉⵜ</t>
    </r>
    <r>
      <rPr>
        <b/>
        <sz val="18"/>
        <color rgb="FF227ACB"/>
        <rFont val="Calibri"/>
        <family val="2"/>
        <scheme val="minor"/>
      </rPr>
      <t xml:space="preserve"> </t>
    </r>
    <r>
      <rPr>
        <b/>
        <sz val="18"/>
        <color rgb="FF227ACB"/>
        <rFont val="Ebrima"/>
      </rPr>
      <t>ⵏ</t>
    </r>
    <r>
      <rPr>
        <b/>
        <sz val="18"/>
        <color rgb="FF227ACB"/>
        <rFont val="Calibri"/>
        <family val="2"/>
        <scheme val="minor"/>
      </rPr>
      <t xml:space="preserve"> </t>
    </r>
    <r>
      <rPr>
        <b/>
        <sz val="18"/>
        <color rgb="FF227ACB"/>
        <rFont val="Ebrima"/>
      </rPr>
      <t>ⵡⴰⵎⴰⵏ</t>
    </r>
  </si>
  <si>
    <t xml:space="preserve">   </t>
  </si>
  <si>
    <t>ALGERIAN WATER UTILITY</t>
  </si>
  <si>
    <t xml:space="preserve">Désignation des travaux                                          </t>
  </si>
  <si>
    <t>Unité</t>
  </si>
  <si>
    <t>Qtité</t>
  </si>
  <si>
    <t xml:space="preserve">           A  - canalisation</t>
  </si>
  <si>
    <t xml:space="preserve">P/ Tube en PEHD DN 25 PN 16          </t>
  </si>
  <si>
    <t>ML</t>
  </si>
  <si>
    <t xml:space="preserve">             B- pièces spéciales</t>
  </si>
  <si>
    <t>P/ Collier de prise en charge en  PEHD DN 110/25</t>
  </si>
  <si>
    <t>U</t>
  </si>
  <si>
    <t>P/ Raccord Filté DN 25</t>
  </si>
  <si>
    <t>P/ Robinet d'arrêt INV DN 20/27</t>
  </si>
  <si>
    <t>P/ Robinet de prise en charge DN 20</t>
  </si>
  <si>
    <t>P/ Bouche à clé &amp; tube socle en béton</t>
  </si>
  <si>
    <t>P/ Tabernacle (plaque d'assise)</t>
  </si>
  <si>
    <t xml:space="preserve">P/ Grillage Avertisseure </t>
  </si>
  <si>
    <t>FP/ Robinet d'arrêt INV DN 15/21</t>
  </si>
  <si>
    <t>Frais de pose compteur DN 20</t>
  </si>
  <si>
    <t>Nb:ce devis est valable pour une durée de 01 mois</t>
  </si>
  <si>
    <t xml:space="preserve">LE CHEF DE CENTRE </t>
  </si>
  <si>
    <t xml:space="preserve"> </t>
  </si>
  <si>
    <t xml:space="preserve">
</t>
  </si>
  <si>
    <t>P.U</t>
  </si>
  <si>
    <t>Montant</t>
  </si>
  <si>
    <t xml:space="preserve">            A - canalisation</t>
  </si>
  <si>
    <t xml:space="preserve">            B - pièces spéciales</t>
  </si>
  <si>
    <t xml:space="preserve"> .</t>
  </si>
  <si>
    <t>Compte CCP N°:00799 999 000774 2862 16</t>
  </si>
  <si>
    <t>THT</t>
  </si>
  <si>
    <t>Compte BADR N°: 00300 853 0000426300 75</t>
  </si>
  <si>
    <t>TVA 19%</t>
  </si>
  <si>
    <t>mode de paiement : verssement bancaire</t>
  </si>
  <si>
    <t>TTC</t>
  </si>
  <si>
    <t>Le présent devis est arrêté en TTC à la somme de:</t>
  </si>
  <si>
    <t>SEIZE  MILLE DEUX CENT SOIXANTE QUATORZE  DINARS ET  QUATRE VINGT DOUZE  CENTIMES .</t>
  </si>
  <si>
    <t>LE CHEF D'AGENCE COMMERCIALE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</si>
</sst>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u/>
      <sz val="12"/>
      <name val="Times New Roman"/>
      <family val="1"/>
    </font>
    <font>
      <b/>
      <sz val="18"/>
      <color rgb="FF227ACB"/>
      <name val="Arial"/>
      <family val="2"/>
    </font>
    <font>
      <b/>
      <sz val="18"/>
      <color rgb="FF227ACB"/>
      <name val="Ebrima"/>
    </font>
    <font>
      <b/>
      <sz val="18"/>
      <color rgb="FF227ACB"/>
      <name val="Calibri"/>
      <family val="2"/>
      <scheme val="minor"/>
    </font>
    <font>
      <b/>
      <sz val="14"/>
      <color rgb="FF000000"/>
      <name val="Times New Roman"/>
      <family val="1"/>
    </font>
    <font>
      <b/>
      <sz val="18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readingOrder="2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4" fontId="1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9" fillId="0" borderId="0" xfId="0" applyFont="1"/>
    <xf numFmtId="0" fontId="11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11" fillId="0" borderId="0" xfId="0" applyFont="1"/>
    <xf numFmtId="4" fontId="1" fillId="2" borderId="1" xfId="0" applyNumberFormat="1" applyFont="1" applyFill="1" applyBorder="1" applyAlignment="1">
      <alignment horizontal="right"/>
    </xf>
    <xf numFmtId="164" fontId="9" fillId="4" borderId="1" xfId="0" applyNumberFormat="1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right"/>
    </xf>
    <xf numFmtId="164" fontId="1" fillId="0" borderId="1" xfId="0" applyNumberFormat="1" applyFont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4" fontId="1" fillId="0" borderId="1" xfId="0" applyNumberFormat="1" applyFont="1" applyBorder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197428</xdr:rowOff>
    </xdr:from>
    <xdr:to>
      <xdr:col>7</xdr:col>
      <xdr:colOff>942975</xdr:colOff>
      <xdr:row>12</xdr:row>
      <xdr:rowOff>162792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68972002-C555-4753-B9DB-7A5C71C3FFF0}"/>
            </a:ext>
          </a:extLst>
        </xdr:cNvPr>
        <xdr:cNvSpPr txBox="1">
          <a:spLocks noChangeArrowheads="1"/>
        </xdr:cNvSpPr>
      </xdr:nvSpPr>
      <xdr:spPr bwMode="auto">
        <a:xfrm>
          <a:off x="0" y="1988128"/>
          <a:ext cx="6057900" cy="927389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1">
            <a:defRPr sz="1000"/>
          </a:pPr>
          <a:r>
            <a:rPr lang="fr-FR" sz="1400" b="1" i="0" strike="noStrike">
              <a:solidFill>
                <a:srgbClr val="000000"/>
              </a:solidFill>
              <a:latin typeface="Times New Roman"/>
              <a:cs typeface="Times New Roman"/>
            </a:rPr>
            <a:t>Zone d'Alger                                                                                      Unité de Médéa</a:t>
          </a:r>
        </a:p>
        <a:p>
          <a:pPr algn="ctr" rtl="1">
            <a:defRPr sz="1000"/>
          </a:pPr>
          <a:r>
            <a:rPr lang="fr-FR" sz="1400" b="1" i="0" strike="noStrike">
              <a:solidFill>
                <a:srgbClr val="000000"/>
              </a:solidFill>
              <a:latin typeface="Times New Roman"/>
              <a:cs typeface="Times New Roman"/>
            </a:rPr>
            <a:t>Siège social :</a:t>
          </a:r>
          <a:r>
            <a:rPr lang="fr-FR" sz="1050" b="0" i="0" strike="noStrike">
              <a:solidFill>
                <a:srgbClr val="000000"/>
              </a:solidFill>
              <a:latin typeface="Times New Roman"/>
              <a:cs typeface="Times New Roman"/>
            </a:rPr>
            <a:t>Quartier KOTTITANE - BP136 - 26000 MEDEA.</a:t>
          </a:r>
          <a:r>
            <a:rPr lang="fr-FR" sz="1050" b="1" i="0" strike="noStrike">
              <a:solidFill>
                <a:srgbClr val="000000"/>
              </a:solidFill>
              <a:latin typeface="Times New Roman"/>
              <a:cs typeface="Times New Roman"/>
            </a:rPr>
            <a:t>  Tél. </a:t>
          </a:r>
          <a:r>
            <a:rPr lang="fr-FR" sz="1050" b="0" i="0" strike="noStrike">
              <a:solidFill>
                <a:srgbClr val="000000"/>
              </a:solidFill>
              <a:latin typeface="Times New Roman"/>
              <a:cs typeface="Times New Roman"/>
            </a:rPr>
            <a:t>025 74</a:t>
          </a:r>
          <a:r>
            <a:rPr lang="fr-FR" sz="105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13 35</a:t>
          </a:r>
          <a:r>
            <a:rPr lang="fr-FR" sz="1050" b="0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  <a:r>
            <a:rPr lang="fr-FR" sz="1050" b="1" i="0" strike="noStrike">
              <a:solidFill>
                <a:srgbClr val="000000"/>
              </a:solidFill>
              <a:latin typeface="Times New Roman"/>
              <a:cs typeface="Times New Roman"/>
            </a:rPr>
            <a:t>  Fax. </a:t>
          </a:r>
          <a:r>
            <a:rPr lang="fr-FR" sz="1050" b="0" i="0" strike="noStrike">
              <a:solidFill>
                <a:srgbClr val="000000"/>
              </a:solidFill>
              <a:latin typeface="Times New Roman"/>
              <a:cs typeface="Times New Roman"/>
            </a:rPr>
            <a:t>025 </a:t>
          </a:r>
          <a:r>
            <a:rPr lang="fr-FR" sz="105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74 13 43</a:t>
          </a:r>
          <a:endParaRPr lang="fr-FR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fr-F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</a:t>
          </a:r>
          <a:r>
            <a:rPr lang="fr-FR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R.C: </a:t>
          </a:r>
          <a:r>
            <a:rPr lang="fr-F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01B0017164                     </a:t>
          </a:r>
          <a:r>
            <a:rPr lang="fr-FR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I.F</a:t>
          </a:r>
          <a:r>
            <a:rPr lang="fr-F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: 000116189029833              </a:t>
          </a:r>
          <a:r>
            <a:rPr lang="fr-FR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A.I</a:t>
          </a:r>
          <a:r>
            <a:rPr lang="fr-F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: 26010890207</a:t>
          </a:r>
          <a:endParaRPr lang="fr-FR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0</xdr:colOff>
      <xdr:row>12</xdr:row>
      <xdr:rowOff>152399</xdr:rowOff>
    </xdr:from>
    <xdr:to>
      <xdr:col>8</xdr:col>
      <xdr:colOff>142874</xdr:colOff>
      <xdr:row>23</xdr:row>
      <xdr:rowOff>95250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6498F53A-5283-43B6-8168-16ADC6E323F0}"/>
            </a:ext>
          </a:extLst>
        </xdr:cNvPr>
        <xdr:cNvSpPr txBox="1">
          <a:spLocks noChangeArrowheads="1"/>
        </xdr:cNvSpPr>
      </xdr:nvSpPr>
      <xdr:spPr bwMode="auto">
        <a:xfrm>
          <a:off x="0" y="2905124"/>
          <a:ext cx="6238874" cy="20383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endParaRPr lang="fr-FR" sz="1200" b="1" i="0" u="sng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fr-FR" sz="1400" b="1" i="0" u="sng" strike="noStrike">
              <a:solidFill>
                <a:srgbClr val="000000"/>
              </a:solidFill>
              <a:latin typeface="Times New Roman"/>
              <a:cs typeface="Times New Roman"/>
            </a:rPr>
            <a:t>Centre de Berrouaghia</a:t>
          </a:r>
          <a:r>
            <a:rPr lang="fr-FR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</a:t>
          </a:r>
        </a:p>
        <a:p>
          <a:pPr algn="l" rtl="1">
            <a:defRPr sz="1000"/>
          </a:pPr>
          <a:r>
            <a:rPr lang="fr-F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  <a:p>
          <a:pPr algn="l" rtl="1">
            <a:defRPr sz="1000"/>
          </a:pPr>
          <a:r>
            <a:rPr lang="fr-FR" sz="1400" b="1" i="0" u="sng" strike="noStrike">
              <a:solidFill>
                <a:srgbClr val="000000"/>
              </a:solidFill>
              <a:latin typeface="Times New Roman"/>
              <a:cs typeface="Times New Roman"/>
            </a:rPr>
            <a:t>DEVIS QUANTITATIF </a:t>
          </a:r>
          <a:endParaRPr lang="fr-FR" sz="1200" b="1" i="0" u="sng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fr-FR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N°:               /2026 du:</a:t>
          </a:r>
        </a:p>
        <a:p>
          <a:pPr algn="l" rtl="1">
            <a:defRPr sz="1000"/>
          </a:pPr>
          <a:endParaRPr lang="fr-FR" sz="1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fr-FR" sz="1200" b="1" i="0" u="sng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1200" b="1" i="0" u="sng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                 </a:t>
          </a:r>
        </a:p>
        <a:p>
          <a:pPr algn="l" rtl="0">
            <a:defRPr sz="1000"/>
          </a:pPr>
          <a:r>
            <a:rPr lang="fr-FR" sz="1200" b="1" i="0" u="sng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r>
            <a:rPr lang="fr-FR" sz="1400" b="1" i="0" u="sng" strike="noStrike">
              <a:solidFill>
                <a:srgbClr val="000000"/>
              </a:solidFill>
              <a:latin typeface="Times New Roman"/>
              <a:cs typeface="Times New Roman"/>
            </a:rPr>
            <a:t>Objet: </a:t>
          </a:r>
          <a:r>
            <a:rPr lang="fr-FR" sz="14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r>
            <a:rPr lang="fr-FR" sz="1400" b="1" i="0" u="sng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Branchement  d'eau potable </a:t>
          </a:r>
        </a:p>
      </xdr:txBody>
    </xdr:sp>
    <xdr:clientData/>
  </xdr:twoCellAnchor>
  <xdr:twoCellAnchor>
    <xdr:from>
      <xdr:col>4</xdr:col>
      <xdr:colOff>199159</xdr:colOff>
      <xdr:row>13</xdr:row>
      <xdr:rowOff>132482</xdr:rowOff>
    </xdr:from>
    <xdr:to>
      <xdr:col>7</xdr:col>
      <xdr:colOff>933450</xdr:colOff>
      <xdr:row>22</xdr:row>
      <xdr:rowOff>47625</xdr:rowOff>
    </xdr:to>
    <xdr:sp macro="" textlink="">
      <xdr:nvSpPr>
        <xdr:cNvPr id="4" name="Text Box 7">
          <a:extLst>
            <a:ext uri="{FF2B5EF4-FFF2-40B4-BE49-F238E27FC236}">
              <a16:creationId xmlns:a16="http://schemas.microsoft.com/office/drawing/2014/main" id="{BB641B97-CB8E-4BDC-8BD7-BF08B58BA640}"/>
            </a:ext>
          </a:extLst>
        </xdr:cNvPr>
        <xdr:cNvSpPr txBox="1">
          <a:spLocks noChangeArrowheads="1"/>
        </xdr:cNvSpPr>
      </xdr:nvSpPr>
      <xdr:spPr bwMode="auto">
        <a:xfrm>
          <a:off x="3323359" y="3075707"/>
          <a:ext cx="2725016" cy="162964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1">
            <a:defRPr sz="1000"/>
          </a:pPr>
          <a:r>
            <a:rPr lang="fr-FR" sz="1000" b="1" i="0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1050" b="1" i="0" strike="noStrike">
              <a:solidFill>
                <a:srgbClr val="000000"/>
              </a:solidFill>
              <a:latin typeface="Arial"/>
              <a:cs typeface="Arial"/>
            </a:rPr>
            <a:t>   DOIT A </a:t>
          </a:r>
          <a:r>
            <a:rPr kumimoji="0" lang="fr-FR" sz="105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: ZIOUCHE BOUALEM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1050" b="1" i="0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       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fr-FR" sz="1050" b="1" i="0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1050" b="1" i="0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ADRESSE </a:t>
          </a:r>
          <a:r>
            <a:rPr lang="fr-FR" sz="1050" b="1" i="0" strike="noStrike">
              <a:solidFill>
                <a:srgbClr val="000000"/>
              </a:solidFill>
              <a:latin typeface="Arial"/>
              <a:ea typeface="+mn-ea"/>
              <a:cs typeface="Arial"/>
            </a:rPr>
            <a:t> :  02 eme TRANCHE AIN AGBA BERROUAGHIA</a:t>
          </a:r>
          <a:endParaRPr lang="fr-FR" sz="1050" b="1" i="0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algn="ctr" rtl="1">
            <a:defRPr sz="1000"/>
          </a:pPr>
          <a:r>
            <a:rPr lang="fr-FR" sz="1050" b="1" i="0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               </a:t>
          </a:r>
        </a:p>
        <a:p>
          <a:pPr algn="ctr" rtl="1">
            <a:defRPr sz="1000"/>
          </a:pPr>
          <a:r>
            <a:rPr lang="fr-FR" sz="1050" b="1" i="0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TEL: 0797-08-26-73 </a:t>
          </a:r>
          <a:endParaRPr lang="fr-FR" sz="9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323850</xdr:colOff>
      <xdr:row>2</xdr:row>
      <xdr:rowOff>85725</xdr:rowOff>
    </xdr:from>
    <xdr:to>
      <xdr:col>7</xdr:col>
      <xdr:colOff>666750</xdr:colOff>
      <xdr:row>2</xdr:row>
      <xdr:rowOff>143741</xdr:rowOff>
    </xdr:to>
    <xdr:sp macro="" textlink="">
      <xdr:nvSpPr>
        <xdr:cNvPr id="5" name="Text Box 35">
          <a:extLst>
            <a:ext uri="{FF2B5EF4-FFF2-40B4-BE49-F238E27FC236}">
              <a16:creationId xmlns:a16="http://schemas.microsoft.com/office/drawing/2014/main" id="{98ECC547-EA01-41A5-BF1C-E2F7996455DC}"/>
            </a:ext>
          </a:extLst>
        </xdr:cNvPr>
        <xdr:cNvSpPr txBox="1">
          <a:spLocks noChangeArrowheads="1"/>
        </xdr:cNvSpPr>
      </xdr:nvSpPr>
      <xdr:spPr bwMode="auto">
        <a:xfrm>
          <a:off x="323850" y="581025"/>
          <a:ext cx="5457825" cy="580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endParaRPr lang="fr-FR" sz="1000" b="1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0</xdr:colOff>
      <xdr:row>51</xdr:row>
      <xdr:rowOff>197428</xdr:rowOff>
    </xdr:from>
    <xdr:to>
      <xdr:col>8</xdr:col>
      <xdr:colOff>0</xdr:colOff>
      <xdr:row>56</xdr:row>
      <xdr:rowOff>162792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B8362123-10D2-4BD6-820B-7B25BAD55A5C}"/>
            </a:ext>
          </a:extLst>
        </xdr:cNvPr>
        <xdr:cNvSpPr txBox="1">
          <a:spLocks noChangeArrowheads="1"/>
        </xdr:cNvSpPr>
      </xdr:nvSpPr>
      <xdr:spPr bwMode="auto">
        <a:xfrm>
          <a:off x="0" y="10798753"/>
          <a:ext cx="6096000" cy="927389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1">
            <a:defRPr sz="1000"/>
          </a:pPr>
          <a:r>
            <a:rPr lang="fr-FR" sz="1400" b="1" i="0" strike="noStrike">
              <a:solidFill>
                <a:srgbClr val="000000"/>
              </a:solidFill>
              <a:latin typeface="Times New Roman"/>
              <a:cs typeface="Times New Roman"/>
            </a:rPr>
            <a:t>Zone d'Alger                                                                                      Unité de Médéa</a:t>
          </a:r>
        </a:p>
        <a:p>
          <a:pPr algn="ctr" rtl="1">
            <a:defRPr sz="1000"/>
          </a:pPr>
          <a:r>
            <a:rPr lang="fr-FR" sz="1400" b="1" i="0" strike="noStrike">
              <a:solidFill>
                <a:srgbClr val="000000"/>
              </a:solidFill>
              <a:latin typeface="Times New Roman"/>
              <a:cs typeface="Times New Roman"/>
            </a:rPr>
            <a:t>Siège social :</a:t>
          </a:r>
          <a:r>
            <a:rPr lang="fr-FR" sz="1050" b="0" i="0" strike="noStrike">
              <a:solidFill>
                <a:srgbClr val="000000"/>
              </a:solidFill>
              <a:latin typeface="Times New Roman"/>
              <a:cs typeface="Times New Roman"/>
            </a:rPr>
            <a:t>Quartier KOTTITANE - BP136 - 26000 MEDEA.</a:t>
          </a:r>
          <a:r>
            <a:rPr lang="fr-FR" sz="1050" b="1" i="0" strike="noStrike">
              <a:solidFill>
                <a:srgbClr val="000000"/>
              </a:solidFill>
              <a:latin typeface="Times New Roman"/>
              <a:cs typeface="Times New Roman"/>
            </a:rPr>
            <a:t>  Tél. </a:t>
          </a:r>
          <a:r>
            <a:rPr lang="fr-FR" sz="1050" b="0" i="0" strike="noStrike">
              <a:solidFill>
                <a:srgbClr val="000000"/>
              </a:solidFill>
              <a:latin typeface="Times New Roman"/>
              <a:cs typeface="Times New Roman"/>
            </a:rPr>
            <a:t>025 74</a:t>
          </a:r>
          <a:r>
            <a:rPr lang="fr-FR" sz="105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13 35</a:t>
          </a:r>
          <a:r>
            <a:rPr lang="fr-FR" sz="1050" b="0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  <a:r>
            <a:rPr lang="fr-FR" sz="1050" b="1" i="0" strike="noStrike">
              <a:solidFill>
                <a:srgbClr val="000000"/>
              </a:solidFill>
              <a:latin typeface="Times New Roman"/>
              <a:cs typeface="Times New Roman"/>
            </a:rPr>
            <a:t>  Fax. </a:t>
          </a:r>
          <a:r>
            <a:rPr lang="fr-FR" sz="1050" b="0" i="0" strike="noStrike">
              <a:solidFill>
                <a:srgbClr val="000000"/>
              </a:solidFill>
              <a:latin typeface="Times New Roman"/>
              <a:cs typeface="Times New Roman"/>
            </a:rPr>
            <a:t>025 </a:t>
          </a:r>
          <a:r>
            <a:rPr lang="fr-FR" sz="105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74 13 43</a:t>
          </a:r>
          <a:endParaRPr lang="fr-FR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fr-F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</a:t>
          </a:r>
          <a:r>
            <a:rPr lang="fr-FR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R.C: </a:t>
          </a:r>
          <a:r>
            <a:rPr lang="fr-F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01B0017164                     </a:t>
          </a:r>
          <a:r>
            <a:rPr lang="fr-FR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I.F</a:t>
          </a:r>
          <a:r>
            <a:rPr lang="fr-F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: 000116189029833              </a:t>
          </a:r>
          <a:r>
            <a:rPr lang="fr-FR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A.I</a:t>
          </a:r>
          <a:r>
            <a:rPr lang="fr-F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: 26010890207</a:t>
          </a:r>
          <a:endParaRPr lang="fr-FR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276225</xdr:colOff>
      <xdr:row>45</xdr:row>
      <xdr:rowOff>40696</xdr:rowOff>
    </xdr:from>
    <xdr:to>
      <xdr:col>7</xdr:col>
      <xdr:colOff>619125</xdr:colOff>
      <xdr:row>47</xdr:row>
      <xdr:rowOff>188767</xdr:rowOff>
    </xdr:to>
    <xdr:sp macro="" textlink="">
      <xdr:nvSpPr>
        <xdr:cNvPr id="7" name="Text Box 35">
          <a:extLst>
            <a:ext uri="{FF2B5EF4-FFF2-40B4-BE49-F238E27FC236}">
              <a16:creationId xmlns:a16="http://schemas.microsoft.com/office/drawing/2014/main" id="{52FF9EB2-5190-4C17-BACB-E8409B1D8D7B}"/>
            </a:ext>
          </a:extLst>
        </xdr:cNvPr>
        <xdr:cNvSpPr txBox="1">
          <a:spLocks noChangeArrowheads="1"/>
        </xdr:cNvSpPr>
      </xdr:nvSpPr>
      <xdr:spPr bwMode="auto">
        <a:xfrm>
          <a:off x="276225" y="8956096"/>
          <a:ext cx="5457825" cy="7767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endParaRPr lang="fr-FR" sz="1000" b="1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</xdr:colOff>
      <xdr:row>56</xdr:row>
      <xdr:rowOff>190499</xdr:rowOff>
    </xdr:from>
    <xdr:to>
      <xdr:col>8</xdr:col>
      <xdr:colOff>95251</xdr:colOff>
      <xdr:row>67</xdr:row>
      <xdr:rowOff>190499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982433BF-A81D-4DF0-838A-0EF66E9539BD}"/>
            </a:ext>
          </a:extLst>
        </xdr:cNvPr>
        <xdr:cNvSpPr txBox="1">
          <a:spLocks noChangeArrowheads="1"/>
        </xdr:cNvSpPr>
      </xdr:nvSpPr>
      <xdr:spPr bwMode="auto">
        <a:xfrm>
          <a:off x="1" y="11753849"/>
          <a:ext cx="6191250" cy="2238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endParaRPr lang="fr-FR" sz="1200" b="0" i="0" u="sng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fr-FR" sz="1400" b="1" i="0" u="sng" strike="noStrike">
              <a:solidFill>
                <a:srgbClr val="000000"/>
              </a:solidFill>
              <a:latin typeface="Times New Roman"/>
              <a:cs typeface="Times New Roman"/>
            </a:rPr>
            <a:t>Centre de Berrouaghia</a:t>
          </a:r>
          <a:r>
            <a:rPr lang="fr-FR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</a:t>
          </a:r>
        </a:p>
        <a:p>
          <a:pPr algn="l" rtl="1">
            <a:defRPr sz="1000"/>
          </a:pPr>
          <a:r>
            <a:rPr lang="fr-F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  <a:p>
          <a:pPr algn="l" rtl="1">
            <a:defRPr sz="1000"/>
          </a:pPr>
          <a:r>
            <a:rPr lang="fr-FR" sz="1400" b="1" i="0" u="sng" strike="noStrike">
              <a:solidFill>
                <a:srgbClr val="000000"/>
              </a:solidFill>
              <a:latin typeface="Times New Roman"/>
              <a:cs typeface="Times New Roman"/>
            </a:rPr>
            <a:t>DEVIS QUANTITATIF ET ESTIMATIF</a:t>
          </a:r>
          <a:endParaRPr lang="fr-FR" sz="1200" b="1" i="0" u="sng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fr-FR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N°:               /2026 du:</a:t>
          </a:r>
        </a:p>
        <a:p>
          <a:pPr algn="l" rtl="1">
            <a:defRPr sz="1000"/>
          </a:pPr>
          <a:endParaRPr lang="fr-FR" sz="12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fr-FR" sz="1200" b="1" i="0" u="sng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1200" b="1" i="0" u="sng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    </a:t>
          </a:r>
        </a:p>
        <a:p>
          <a:pPr algn="l" rtl="0">
            <a:defRPr sz="1000"/>
          </a:pPr>
          <a:endParaRPr lang="fr-FR" sz="1200" b="1" i="0" u="sng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1200" b="1" i="0" u="sng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r>
            <a:rPr lang="fr-FR" sz="1400" b="1" i="0" u="sng" strike="noStrike">
              <a:solidFill>
                <a:srgbClr val="000000"/>
              </a:solidFill>
              <a:latin typeface="Times New Roman"/>
              <a:cs typeface="Times New Roman"/>
            </a:rPr>
            <a:t>Objet</a:t>
          </a:r>
          <a:r>
            <a:rPr lang="fr-FR" sz="1400" b="1" i="0" u="sng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:  Branchement  d'eau potable  </a:t>
          </a:r>
        </a:p>
      </xdr:txBody>
    </xdr:sp>
    <xdr:clientData/>
  </xdr:twoCellAnchor>
  <xdr:twoCellAnchor>
    <xdr:from>
      <xdr:col>4</xdr:col>
      <xdr:colOff>209551</xdr:colOff>
      <xdr:row>57</xdr:row>
      <xdr:rowOff>123823</xdr:rowOff>
    </xdr:from>
    <xdr:to>
      <xdr:col>7</xdr:col>
      <xdr:colOff>857250</xdr:colOff>
      <xdr:row>65</xdr:row>
      <xdr:rowOff>104775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F6F40CF8-6549-47CB-9ED4-09F557D708D5}"/>
            </a:ext>
          </a:extLst>
        </xdr:cNvPr>
        <xdr:cNvSpPr txBox="1">
          <a:spLocks noChangeArrowheads="1"/>
        </xdr:cNvSpPr>
      </xdr:nvSpPr>
      <xdr:spPr bwMode="auto">
        <a:xfrm>
          <a:off x="3333751" y="11877673"/>
          <a:ext cx="2638424" cy="150495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1">
            <a:defRPr sz="1000"/>
          </a:pPr>
          <a:r>
            <a:rPr lang="fr-FR" sz="1000" b="1" i="0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1050" b="1" i="0" strike="noStrike">
              <a:solidFill>
                <a:srgbClr val="000000"/>
              </a:solidFill>
              <a:latin typeface="Arial"/>
              <a:cs typeface="Arial"/>
            </a:rPr>
            <a:t>    DOIT A: </a:t>
          </a:r>
          <a:r>
            <a:rPr lang="fr-FR" sz="105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kumimoji="0" lang="fr-FR" sz="105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ZIOUECHE BOUALEM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fr-FR" sz="1050" b="1" i="0" strike="noStrike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050" b="1" i="0" strike="noStrike">
              <a:solidFill>
                <a:srgbClr val="000000"/>
              </a:solidFill>
              <a:latin typeface="Arial"/>
              <a:ea typeface="+mn-ea"/>
              <a:cs typeface="Arial"/>
            </a:rPr>
            <a:t>   ADRESSE : 02 eme</a:t>
          </a:r>
          <a:r>
            <a:rPr lang="fr-FR" sz="1050" b="1" i="0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 TRANCHE AGBA </a:t>
          </a:r>
          <a:endParaRPr lang="fr-FR" sz="1050" b="1" i="0" strike="noStrike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050" b="1" i="0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050" b="1" i="0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BERROUAGHIA </a:t>
          </a:r>
          <a:r>
            <a:rPr lang="fr-FR" sz="1050" b="1" i="0" strike="noStrike">
              <a:solidFill>
                <a:srgbClr val="000000"/>
              </a:solidFill>
              <a:latin typeface="Arial"/>
              <a:ea typeface="+mn-ea"/>
              <a:cs typeface="Arial"/>
            </a:rPr>
            <a:t>                                                 </a:t>
          </a:r>
          <a:endParaRPr lang="fr-FR" sz="1050" b="0" i="0" strike="noStrike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algn="l" rtl="1"/>
          <a:r>
            <a:rPr lang="fr-FR" sz="900" b="0" i="0" strike="noStrike" baseline="0">
              <a:solidFill>
                <a:srgbClr val="000000"/>
              </a:solidFill>
              <a:latin typeface="Arial"/>
              <a:cs typeface="Arial"/>
            </a:rPr>
            <a:t>                        </a:t>
          </a:r>
          <a:r>
            <a:rPr lang="fr-FR" sz="900" b="1" i="0" strike="noStrike" baseline="0">
              <a:solidFill>
                <a:srgbClr val="000000"/>
              </a:solidFill>
              <a:latin typeface="Arial"/>
              <a:cs typeface="Arial"/>
            </a:rPr>
            <a:t>TEL : 0797-08-26-73</a:t>
          </a:r>
          <a:endParaRPr lang="fr-FR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552450</xdr:colOff>
      <xdr:row>1</xdr:row>
      <xdr:rowOff>209550</xdr:rowOff>
    </xdr:from>
    <xdr:to>
      <xdr:col>2</xdr:col>
      <xdr:colOff>419100</xdr:colOff>
      <xdr:row>3</xdr:row>
      <xdr:rowOff>152400</xdr:rowOff>
    </xdr:to>
    <xdr:pic>
      <xdr:nvPicPr>
        <xdr:cNvPr id="10" name="Image 2">
          <a:extLst>
            <a:ext uri="{FF2B5EF4-FFF2-40B4-BE49-F238E27FC236}">
              <a16:creationId xmlns:a16="http://schemas.microsoft.com/office/drawing/2014/main" id="{D324B939-5A59-4624-B5D3-484B839AE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409575"/>
          <a:ext cx="6286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323850</xdr:colOff>
      <xdr:row>44</xdr:row>
      <xdr:rowOff>100445</xdr:rowOff>
    </xdr:from>
    <xdr:to>
      <xdr:col>7</xdr:col>
      <xdr:colOff>666750</xdr:colOff>
      <xdr:row>46</xdr:row>
      <xdr:rowOff>143741</xdr:rowOff>
    </xdr:to>
    <xdr:sp macro="" textlink="">
      <xdr:nvSpPr>
        <xdr:cNvPr id="11" name="Text Box 35">
          <a:extLst>
            <a:ext uri="{FF2B5EF4-FFF2-40B4-BE49-F238E27FC236}">
              <a16:creationId xmlns:a16="http://schemas.microsoft.com/office/drawing/2014/main" id="{7E70E0E0-E868-4A83-B5F2-022799709B56}"/>
            </a:ext>
          </a:extLst>
        </xdr:cNvPr>
        <xdr:cNvSpPr txBox="1">
          <a:spLocks noChangeArrowheads="1"/>
        </xdr:cNvSpPr>
      </xdr:nvSpPr>
      <xdr:spPr bwMode="auto">
        <a:xfrm>
          <a:off x="323850" y="8815820"/>
          <a:ext cx="5457825" cy="538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endParaRPr lang="fr-FR" sz="1000" b="1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</xdr:col>
      <xdr:colOff>552450</xdr:colOff>
      <xdr:row>45</xdr:row>
      <xdr:rowOff>209550</xdr:rowOff>
    </xdr:from>
    <xdr:to>
      <xdr:col>2</xdr:col>
      <xdr:colOff>419100</xdr:colOff>
      <xdr:row>47</xdr:row>
      <xdr:rowOff>152400</xdr:rowOff>
    </xdr:to>
    <xdr:pic>
      <xdr:nvPicPr>
        <xdr:cNvPr id="12" name="Image 2">
          <a:extLst>
            <a:ext uri="{FF2B5EF4-FFF2-40B4-BE49-F238E27FC236}">
              <a16:creationId xmlns:a16="http://schemas.microsoft.com/office/drawing/2014/main" id="{023DAB45-D183-41D5-8F34-9A26F660B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9124950"/>
          <a:ext cx="6286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5597-D5AD-4D2F-82D2-42626F184844}">
  <dimension ref="A1:J93"/>
  <sheetViews>
    <sheetView tabSelected="1" topLeftCell="A63" workbookViewId="0">
      <selection activeCell="B45" sqref="B45:H49"/>
    </sheetView>
  </sheetViews>
  <sheetFormatPr baseColWidth="10" defaultRowHeight="15" x14ac:dyDescent="0.25"/>
  <cols>
    <col min="4" max="4" width="12.5703125" customWidth="1"/>
    <col min="5" max="5" width="9.7109375" customWidth="1"/>
    <col min="6" max="6" width="7.7109375" customWidth="1"/>
    <col min="7" max="7" width="12.42578125" customWidth="1"/>
    <col min="8" max="8" width="14.7109375" customWidth="1"/>
  </cols>
  <sheetData>
    <row r="1" spans="1:8" ht="15.75" x14ac:dyDescent="0.25">
      <c r="A1" s="1"/>
      <c r="B1" s="1"/>
      <c r="C1" s="1"/>
      <c r="D1" s="2"/>
      <c r="E1" s="1"/>
      <c r="F1" s="1"/>
    </row>
    <row r="2" spans="1:8" ht="23.25" x14ac:dyDescent="0.25">
      <c r="C2" s="3"/>
      <c r="D2" s="3"/>
      <c r="E2" s="3" t="s">
        <v>0</v>
      </c>
      <c r="G2" s="3"/>
    </row>
    <row r="3" spans="1:8" ht="26.25" x14ac:dyDescent="0.25">
      <c r="D3" s="4" t="s">
        <v>1</v>
      </c>
    </row>
    <row r="4" spans="1:8" ht="23.25" x14ac:dyDescent="0.25">
      <c r="B4" s="5"/>
      <c r="C4" t="s">
        <v>2</v>
      </c>
      <c r="E4" s="5" t="s">
        <v>3</v>
      </c>
    </row>
    <row r="5" spans="1:8" x14ac:dyDescent="0.25">
      <c r="C5" s="6"/>
    </row>
    <row r="6" spans="1:8" ht="22.5" x14ac:dyDescent="0.3">
      <c r="A6" s="7"/>
      <c r="H6" s="8"/>
    </row>
    <row r="8" spans="1:8" ht="15.75" x14ac:dyDescent="0.25">
      <c r="A8" s="1"/>
      <c r="B8" s="1"/>
      <c r="C8" s="1"/>
      <c r="D8" s="1"/>
      <c r="E8" s="2"/>
      <c r="F8" s="1"/>
      <c r="G8" s="1"/>
      <c r="H8" s="1"/>
    </row>
    <row r="20" spans="1:8" x14ac:dyDescent="0.25">
      <c r="E20" t="s">
        <v>2</v>
      </c>
    </row>
    <row r="23" spans="1:8" x14ac:dyDescent="0.25">
      <c r="A23" s="9"/>
    </row>
    <row r="24" spans="1:8" x14ac:dyDescent="0.25">
      <c r="A24" s="9"/>
    </row>
    <row r="25" spans="1:8" x14ac:dyDescent="0.25">
      <c r="A25" s="9"/>
    </row>
    <row r="26" spans="1:8" ht="21.75" customHeight="1" x14ac:dyDescent="0.25">
      <c r="A26" s="10" t="s">
        <v>4</v>
      </c>
      <c r="B26" s="10"/>
      <c r="C26" s="10"/>
      <c r="D26" s="11"/>
      <c r="E26" s="12" t="s">
        <v>5</v>
      </c>
      <c r="F26" s="12" t="s">
        <v>6</v>
      </c>
    </row>
    <row r="27" spans="1:8" ht="15.75" x14ac:dyDescent="0.25">
      <c r="A27" s="13" t="s">
        <v>7</v>
      </c>
      <c r="B27" s="14"/>
      <c r="C27" s="14"/>
      <c r="D27" s="15"/>
      <c r="E27" s="16"/>
      <c r="F27" s="16"/>
      <c r="G27" s="17"/>
      <c r="H27" s="18"/>
    </row>
    <row r="28" spans="1:8" ht="15.75" x14ac:dyDescent="0.25">
      <c r="A28" s="19" t="s">
        <v>8</v>
      </c>
      <c r="B28" s="20"/>
      <c r="C28" s="20"/>
      <c r="D28" s="21"/>
      <c r="E28" s="22" t="s">
        <v>9</v>
      </c>
      <c r="F28" s="22">
        <v>3</v>
      </c>
      <c r="G28" s="17"/>
      <c r="H28" s="18"/>
    </row>
    <row r="29" spans="1:8" ht="15.75" x14ac:dyDescent="0.25">
      <c r="A29" s="13" t="s">
        <v>10</v>
      </c>
      <c r="B29" s="14"/>
      <c r="C29" s="14"/>
      <c r="D29" s="15"/>
      <c r="E29" s="16"/>
      <c r="F29" s="16"/>
      <c r="G29" s="17"/>
      <c r="H29" s="18"/>
    </row>
    <row r="30" spans="1:8" ht="15.75" x14ac:dyDescent="0.25">
      <c r="A30" s="19" t="s">
        <v>11</v>
      </c>
      <c r="B30" s="20"/>
      <c r="C30" s="20"/>
      <c r="D30" s="21"/>
      <c r="E30" s="23" t="s">
        <v>12</v>
      </c>
      <c r="F30" s="23">
        <v>1</v>
      </c>
      <c r="G30" s="17"/>
      <c r="H30" s="18"/>
    </row>
    <row r="31" spans="1:8" ht="15.75" x14ac:dyDescent="0.25">
      <c r="A31" s="24" t="s">
        <v>13</v>
      </c>
      <c r="B31" s="25"/>
      <c r="C31" s="25"/>
      <c r="D31" s="26"/>
      <c r="E31" s="23" t="s">
        <v>12</v>
      </c>
      <c r="F31" s="23">
        <v>1</v>
      </c>
      <c r="G31" s="17"/>
      <c r="H31" s="18"/>
    </row>
    <row r="32" spans="1:8" ht="15.75" x14ac:dyDescent="0.25">
      <c r="A32" s="19" t="s">
        <v>14</v>
      </c>
      <c r="B32" s="20"/>
      <c r="C32" s="20"/>
      <c r="D32" s="21"/>
      <c r="E32" s="27" t="s">
        <v>12</v>
      </c>
      <c r="F32" s="27">
        <v>1</v>
      </c>
      <c r="G32" s="17"/>
      <c r="H32" s="18"/>
    </row>
    <row r="33" spans="1:8" ht="15.75" x14ac:dyDescent="0.25">
      <c r="A33" s="19" t="s">
        <v>15</v>
      </c>
      <c r="B33" s="20"/>
      <c r="C33" s="20"/>
      <c r="D33" s="21"/>
      <c r="E33" s="27" t="s">
        <v>12</v>
      </c>
      <c r="F33" s="27">
        <v>1</v>
      </c>
      <c r="G33" s="17"/>
      <c r="H33" s="18"/>
    </row>
    <row r="34" spans="1:8" ht="15.75" x14ac:dyDescent="0.25">
      <c r="A34" s="24" t="s">
        <v>16</v>
      </c>
      <c r="B34" s="25"/>
      <c r="C34" s="25"/>
      <c r="D34" s="26"/>
      <c r="E34" s="27" t="s">
        <v>12</v>
      </c>
      <c r="F34" s="27">
        <v>1</v>
      </c>
      <c r="G34" s="17"/>
      <c r="H34" s="18"/>
    </row>
    <row r="35" spans="1:8" ht="15.75" x14ac:dyDescent="0.25">
      <c r="A35" s="24" t="s">
        <v>17</v>
      </c>
      <c r="B35" s="25"/>
      <c r="C35" s="25"/>
      <c r="D35" s="26"/>
      <c r="E35" s="27" t="s">
        <v>12</v>
      </c>
      <c r="F35" s="27">
        <v>1</v>
      </c>
      <c r="G35" s="17"/>
      <c r="H35" s="18"/>
    </row>
    <row r="36" spans="1:8" ht="15.75" x14ac:dyDescent="0.25">
      <c r="A36" s="24" t="s">
        <v>18</v>
      </c>
      <c r="B36" s="25"/>
      <c r="C36" s="25"/>
      <c r="D36" s="26"/>
      <c r="E36" s="27" t="s">
        <v>9</v>
      </c>
      <c r="F36" s="27">
        <v>3</v>
      </c>
      <c r="G36" s="17"/>
      <c r="H36" s="17"/>
    </row>
    <row r="37" spans="1:8" ht="15.75" hidden="1" customHeight="1" x14ac:dyDescent="0.25">
      <c r="A37" s="19" t="s">
        <v>19</v>
      </c>
      <c r="B37" s="20"/>
      <c r="C37" s="20"/>
      <c r="D37" s="21"/>
      <c r="E37" s="27" t="s">
        <v>12</v>
      </c>
      <c r="F37" s="27">
        <v>1</v>
      </c>
      <c r="G37" s="17"/>
      <c r="H37" s="17"/>
    </row>
    <row r="38" spans="1:8" ht="15.75" x14ac:dyDescent="0.25">
      <c r="A38" s="19" t="s">
        <v>20</v>
      </c>
      <c r="B38" s="20"/>
      <c r="C38" s="20"/>
      <c r="D38" s="21"/>
      <c r="E38" s="27" t="s">
        <v>12</v>
      </c>
      <c r="F38" s="27">
        <v>1</v>
      </c>
      <c r="G38" s="28"/>
      <c r="H38" s="17"/>
    </row>
    <row r="39" spans="1:8" ht="16.5" customHeight="1" x14ac:dyDescent="0.25">
      <c r="A39" s="29" t="s">
        <v>21</v>
      </c>
      <c r="B39" s="29"/>
      <c r="C39" s="29"/>
      <c r="D39" s="29"/>
      <c r="E39" s="30"/>
      <c r="F39" s="30"/>
      <c r="G39" s="30"/>
      <c r="H39" s="17"/>
    </row>
    <row r="40" spans="1:8" ht="16.5" customHeight="1" x14ac:dyDescent="0.25">
      <c r="A40" s="31"/>
      <c r="B40" s="31"/>
      <c r="C40" s="31"/>
      <c r="D40" s="31"/>
      <c r="E40" s="28"/>
      <c r="F40" s="28"/>
      <c r="G40" s="28"/>
      <c r="H40" s="17"/>
    </row>
    <row r="41" spans="1:8" ht="15.75" x14ac:dyDescent="0.25">
      <c r="A41" s="32"/>
      <c r="B41" s="1"/>
      <c r="C41" s="1"/>
      <c r="D41" s="1"/>
      <c r="E41" s="2" t="s">
        <v>22</v>
      </c>
      <c r="F41" s="1"/>
      <c r="G41" s="1"/>
      <c r="H41" s="1"/>
    </row>
    <row r="42" spans="1:8" x14ac:dyDescent="0.25">
      <c r="A42" s="33"/>
      <c r="B42" s="33"/>
      <c r="C42" s="33"/>
      <c r="D42" s="33"/>
      <c r="E42" s="33"/>
      <c r="F42" s="33"/>
      <c r="G42" s="33"/>
      <c r="H42" s="33"/>
    </row>
    <row r="43" spans="1:8" hidden="1" x14ac:dyDescent="0.25">
      <c r="A43" s="33"/>
      <c r="B43" s="33"/>
      <c r="C43" s="33"/>
      <c r="D43" s="33"/>
      <c r="E43" s="33"/>
      <c r="F43" s="33"/>
      <c r="G43" s="33"/>
      <c r="H43" s="33"/>
    </row>
    <row r="44" spans="1:8" ht="15.75" x14ac:dyDescent="0.25">
      <c r="A44" s="1"/>
      <c r="B44" s="1"/>
      <c r="C44" s="1"/>
      <c r="D44" s="1"/>
      <c r="E44" s="1"/>
      <c r="F44" s="1"/>
      <c r="G44" s="1"/>
      <c r="H44" s="1"/>
    </row>
    <row r="45" spans="1:8" ht="15.75" x14ac:dyDescent="0.25">
      <c r="A45" s="1"/>
      <c r="B45" s="1"/>
      <c r="C45" s="1"/>
      <c r="D45" s="2"/>
      <c r="E45" s="1"/>
      <c r="F45" s="1"/>
    </row>
    <row r="46" spans="1:8" ht="23.25" x14ac:dyDescent="0.25">
      <c r="A46" t="s">
        <v>23</v>
      </c>
      <c r="C46" s="3"/>
      <c r="D46" s="3"/>
      <c r="E46" s="3" t="s">
        <v>0</v>
      </c>
      <c r="G46" s="3"/>
    </row>
    <row r="47" spans="1:8" ht="26.25" x14ac:dyDescent="0.25">
      <c r="D47" s="4" t="s">
        <v>1</v>
      </c>
    </row>
    <row r="48" spans="1:8" ht="23.25" x14ac:dyDescent="0.25">
      <c r="B48" s="5"/>
      <c r="C48" t="s">
        <v>2</v>
      </c>
      <c r="E48" s="5" t="s">
        <v>3</v>
      </c>
    </row>
    <row r="49" spans="1:8" x14ac:dyDescent="0.25">
      <c r="C49" s="6"/>
    </row>
    <row r="50" spans="1:8" ht="22.5" x14ac:dyDescent="0.3">
      <c r="A50" s="7"/>
      <c r="H50" s="8"/>
    </row>
    <row r="51" spans="1:8" ht="22.5" x14ac:dyDescent="0.3">
      <c r="A51" s="7"/>
      <c r="H51" s="8"/>
    </row>
    <row r="52" spans="1:8" ht="15.75" x14ac:dyDescent="0.25">
      <c r="A52" s="1"/>
      <c r="B52" s="1"/>
      <c r="C52" s="1"/>
      <c r="D52" s="1"/>
      <c r="E52" s="2"/>
      <c r="F52" s="1"/>
      <c r="G52" s="1"/>
      <c r="H52" s="1"/>
    </row>
    <row r="53" spans="1:8" x14ac:dyDescent="0.25">
      <c r="F53">
        <v>10</v>
      </c>
    </row>
    <row r="66" spans="1:10" x14ac:dyDescent="0.25">
      <c r="A66" s="9"/>
    </row>
    <row r="67" spans="1:10" ht="26.25" x14ac:dyDescent="0.25">
      <c r="A67" s="34" t="s">
        <v>24</v>
      </c>
      <c r="F67" s="35"/>
      <c r="J67" t="s">
        <v>23</v>
      </c>
    </row>
    <row r="68" spans="1:10" x14ac:dyDescent="0.25">
      <c r="A68" s="34"/>
      <c r="F68" s="35"/>
    </row>
    <row r="69" spans="1:10" ht="15.75" x14ac:dyDescent="0.25">
      <c r="A69" s="10" t="s">
        <v>4</v>
      </c>
      <c r="B69" s="10"/>
      <c r="C69" s="10"/>
      <c r="D69" s="11"/>
      <c r="E69" s="12" t="s">
        <v>5</v>
      </c>
      <c r="F69" s="12" t="s">
        <v>6</v>
      </c>
      <c r="G69" s="12" t="s">
        <v>25</v>
      </c>
      <c r="H69" s="12" t="s">
        <v>26</v>
      </c>
    </row>
    <row r="70" spans="1:10" ht="15.75" x14ac:dyDescent="0.25">
      <c r="A70" s="13" t="s">
        <v>27</v>
      </c>
      <c r="B70" s="14"/>
      <c r="C70" s="14"/>
      <c r="D70" s="15"/>
      <c r="E70" s="16"/>
      <c r="F70" s="16"/>
      <c r="G70" s="36"/>
      <c r="H70" s="37"/>
    </row>
    <row r="71" spans="1:10" ht="15.75" x14ac:dyDescent="0.25">
      <c r="A71" s="19" t="s">
        <v>8</v>
      </c>
      <c r="B71" s="20"/>
      <c r="C71" s="20"/>
      <c r="D71" s="21"/>
      <c r="E71" s="22" t="s">
        <v>9</v>
      </c>
      <c r="F71" s="22">
        <v>3</v>
      </c>
      <c r="G71" s="38">
        <v>78</v>
      </c>
      <c r="H71" s="39">
        <f>G71*F71</f>
        <v>234</v>
      </c>
    </row>
    <row r="72" spans="1:10" ht="15.75" x14ac:dyDescent="0.25">
      <c r="A72" s="13" t="s">
        <v>28</v>
      </c>
      <c r="B72" s="14"/>
      <c r="C72" s="14"/>
      <c r="D72" s="15"/>
      <c r="E72" s="16"/>
      <c r="F72" s="16"/>
      <c r="G72" s="36"/>
      <c r="H72" s="40"/>
    </row>
    <row r="73" spans="1:10" ht="15.75" x14ac:dyDescent="0.25">
      <c r="A73" s="19" t="s">
        <v>11</v>
      </c>
      <c r="B73" s="20"/>
      <c r="C73" s="20"/>
      <c r="D73" s="21"/>
      <c r="E73" s="23" t="s">
        <v>12</v>
      </c>
      <c r="F73" s="23">
        <v>1</v>
      </c>
      <c r="G73" s="38">
        <v>330</v>
      </c>
      <c r="H73" s="39">
        <f>G73*F73</f>
        <v>330</v>
      </c>
    </row>
    <row r="74" spans="1:10" ht="15.75" x14ac:dyDescent="0.25">
      <c r="A74" s="24" t="s">
        <v>13</v>
      </c>
      <c r="B74" s="25"/>
      <c r="C74" s="25"/>
      <c r="D74" s="26"/>
      <c r="E74" s="23" t="s">
        <v>12</v>
      </c>
      <c r="F74" s="23">
        <v>1</v>
      </c>
      <c r="G74" s="38">
        <v>51</v>
      </c>
      <c r="H74" s="39">
        <f>G74*F74</f>
        <v>51</v>
      </c>
    </row>
    <row r="75" spans="1:10" ht="15.75" x14ac:dyDescent="0.25">
      <c r="A75" s="19" t="s">
        <v>14</v>
      </c>
      <c r="B75" s="20"/>
      <c r="C75" s="20"/>
      <c r="D75" s="21"/>
      <c r="E75" s="27" t="s">
        <v>12</v>
      </c>
      <c r="F75" s="27">
        <v>1</v>
      </c>
      <c r="G75" s="41">
        <v>1346.4</v>
      </c>
      <c r="H75" s="39">
        <f t="shared" ref="H75:H80" si="0">G75*F75</f>
        <v>1346.4</v>
      </c>
    </row>
    <row r="76" spans="1:10" ht="15.75" x14ac:dyDescent="0.25">
      <c r="A76" s="19" t="s">
        <v>15</v>
      </c>
      <c r="B76" s="20"/>
      <c r="C76" s="20"/>
      <c r="D76" s="21"/>
      <c r="E76" s="27" t="s">
        <v>12</v>
      </c>
      <c r="F76" s="27">
        <v>1</v>
      </c>
      <c r="G76" s="41">
        <v>2520</v>
      </c>
      <c r="H76" s="39">
        <f t="shared" si="0"/>
        <v>2520</v>
      </c>
      <c r="I76" t="s">
        <v>29</v>
      </c>
    </row>
    <row r="77" spans="1:10" ht="15.75" x14ac:dyDescent="0.25">
      <c r="A77" s="24" t="s">
        <v>16</v>
      </c>
      <c r="B77" s="25"/>
      <c r="C77" s="25"/>
      <c r="D77" s="26"/>
      <c r="E77" s="27" t="s">
        <v>12</v>
      </c>
      <c r="F77" s="27">
        <v>1</v>
      </c>
      <c r="G77" s="41">
        <v>900</v>
      </c>
      <c r="H77" s="39">
        <f>G77*F77</f>
        <v>900</v>
      </c>
    </row>
    <row r="78" spans="1:10" ht="15.75" x14ac:dyDescent="0.25">
      <c r="A78" s="24" t="s">
        <v>17</v>
      </c>
      <c r="B78" s="25"/>
      <c r="C78" s="25"/>
      <c r="D78" s="26"/>
      <c r="E78" s="27" t="s">
        <v>12</v>
      </c>
      <c r="F78" s="27">
        <v>1</v>
      </c>
      <c r="G78" s="41">
        <v>660</v>
      </c>
      <c r="H78" s="39">
        <f>G78*F78</f>
        <v>660</v>
      </c>
    </row>
    <row r="79" spans="1:10" ht="15.75" x14ac:dyDescent="0.25">
      <c r="A79" s="24" t="s">
        <v>18</v>
      </c>
      <c r="B79" s="25"/>
      <c r="C79" s="25"/>
      <c r="D79" s="26"/>
      <c r="E79" s="27" t="s">
        <v>9</v>
      </c>
      <c r="F79" s="27">
        <v>3</v>
      </c>
      <c r="G79" s="41">
        <v>45</v>
      </c>
      <c r="H79" s="39">
        <f>G79*F79</f>
        <v>135</v>
      </c>
    </row>
    <row r="80" spans="1:10" ht="15.75" x14ac:dyDescent="0.25">
      <c r="A80" s="19" t="s">
        <v>20</v>
      </c>
      <c r="B80" s="20"/>
      <c r="C80" s="20"/>
      <c r="D80" s="21"/>
      <c r="E80" s="27" t="s">
        <v>12</v>
      </c>
      <c r="F80" s="27">
        <v>1</v>
      </c>
      <c r="G80" s="41">
        <v>7500</v>
      </c>
      <c r="H80" s="39">
        <f t="shared" si="0"/>
        <v>7500</v>
      </c>
    </row>
    <row r="81" spans="1:8" ht="15.75" x14ac:dyDescent="0.25">
      <c r="A81" s="42"/>
      <c r="B81" s="42"/>
      <c r="C81" s="42"/>
      <c r="D81" s="42"/>
      <c r="H81" s="39"/>
    </row>
    <row r="82" spans="1:8" ht="15.75" x14ac:dyDescent="0.25">
      <c r="A82" s="43" t="s">
        <v>30</v>
      </c>
      <c r="B82" s="44"/>
      <c r="C82" s="44"/>
      <c r="D82" s="45"/>
      <c r="E82" s="46" t="s">
        <v>31</v>
      </c>
      <c r="F82" s="47"/>
      <c r="G82" s="48"/>
      <c r="H82" s="39">
        <f>SUM(H71:H81)</f>
        <v>13676.4</v>
      </c>
    </row>
    <row r="83" spans="1:8" ht="15.75" x14ac:dyDescent="0.25">
      <c r="A83" s="49" t="s">
        <v>32</v>
      </c>
      <c r="B83" s="50"/>
      <c r="C83" s="50"/>
      <c r="D83" s="51"/>
      <c r="E83" s="46" t="s">
        <v>33</v>
      </c>
      <c r="F83" s="47"/>
      <c r="G83" s="48"/>
      <c r="H83" s="52">
        <f>H82*0.19</f>
        <v>2598.5160000000001</v>
      </c>
    </row>
    <row r="84" spans="1:8" ht="15.75" x14ac:dyDescent="0.25">
      <c r="A84" s="19" t="s">
        <v>34</v>
      </c>
      <c r="B84" s="20"/>
      <c r="C84" s="20"/>
      <c r="D84" s="21"/>
      <c r="E84" s="46" t="s">
        <v>35</v>
      </c>
      <c r="F84" s="47"/>
      <c r="G84" s="48"/>
      <c r="H84" s="52">
        <f>SUM(H82:H83)</f>
        <v>16274.915999999999</v>
      </c>
    </row>
    <row r="85" spans="1:8" ht="15.75" x14ac:dyDescent="0.25">
      <c r="A85" s="32" t="s">
        <v>36</v>
      </c>
      <c r="B85" s="1"/>
      <c r="C85" s="1"/>
      <c r="D85" s="1"/>
      <c r="E85" s="1"/>
      <c r="F85" s="1"/>
      <c r="G85" s="1"/>
      <c r="H85" s="53"/>
    </row>
    <row r="86" spans="1:8" x14ac:dyDescent="0.25">
      <c r="A86" s="33" t="s">
        <v>37</v>
      </c>
      <c r="B86" s="33"/>
      <c r="C86" s="33"/>
      <c r="D86" s="33"/>
      <c r="E86" s="33"/>
      <c r="F86" s="33"/>
      <c r="G86" s="33"/>
      <c r="H86" s="33"/>
    </row>
    <row r="87" spans="1:8" x14ac:dyDescent="0.25">
      <c r="A87" s="33"/>
      <c r="B87" s="33"/>
      <c r="C87" s="33"/>
      <c r="D87" s="33"/>
      <c r="E87" s="33"/>
      <c r="F87" s="33"/>
      <c r="G87" s="33"/>
      <c r="H87" s="33"/>
    </row>
    <row r="88" spans="1:8" ht="15.75" x14ac:dyDescent="0.25">
      <c r="A88" s="1" t="s">
        <v>21</v>
      </c>
      <c r="B88" s="1"/>
      <c r="C88" s="1"/>
      <c r="D88" s="1"/>
      <c r="E88" s="1"/>
      <c r="F88" s="1"/>
      <c r="G88" s="1"/>
      <c r="H88" s="1"/>
    </row>
    <row r="89" spans="1:8" ht="15.75" x14ac:dyDescent="0.25">
      <c r="A89" s="1"/>
      <c r="B89" s="1"/>
      <c r="C89" s="1"/>
      <c r="F89" s="1"/>
      <c r="G89" s="1"/>
      <c r="H89" s="1"/>
    </row>
    <row r="90" spans="1:8" ht="15.75" x14ac:dyDescent="0.25">
      <c r="A90" s="1"/>
      <c r="B90" s="1"/>
      <c r="C90" s="1"/>
      <c r="D90" s="2" t="s">
        <v>38</v>
      </c>
      <c r="E90" s="2"/>
      <c r="F90" s="1"/>
      <c r="G90" s="1"/>
      <c r="H90" s="1"/>
    </row>
    <row r="91" spans="1:8" ht="15.75" x14ac:dyDescent="0.25">
      <c r="A91" s="1"/>
      <c r="B91" s="1"/>
      <c r="C91" s="1"/>
      <c r="D91" s="2"/>
      <c r="E91" s="2"/>
      <c r="F91" s="1"/>
      <c r="G91" s="1"/>
      <c r="H91" s="1"/>
    </row>
    <row r="92" spans="1:8" ht="15.75" x14ac:dyDescent="0.25">
      <c r="A92" s="1"/>
      <c r="B92" s="1"/>
      <c r="C92" s="1"/>
      <c r="D92" s="2"/>
      <c r="E92" s="2"/>
      <c r="F92" s="1"/>
      <c r="G92" s="1"/>
      <c r="H92" s="1"/>
    </row>
    <row r="93" spans="1:8" ht="15.75" x14ac:dyDescent="0.25">
      <c r="A93" s="1"/>
      <c r="B93" s="1"/>
      <c r="C93" s="1"/>
      <c r="D93" s="2"/>
      <c r="E93" s="2"/>
      <c r="F93" s="1"/>
      <c r="G93" s="1"/>
      <c r="H93" s="1"/>
    </row>
  </sheetData>
  <mergeCells count="26">
    <mergeCell ref="A86:H87"/>
    <mergeCell ref="A81:D81"/>
    <mergeCell ref="A82:D82"/>
    <mergeCell ref="E82:G82"/>
    <mergeCell ref="A83:D83"/>
    <mergeCell ref="E83:G83"/>
    <mergeCell ref="A84:D84"/>
    <mergeCell ref="E84:G84"/>
    <mergeCell ref="A71:D71"/>
    <mergeCell ref="A72:D72"/>
    <mergeCell ref="A73:D73"/>
    <mergeCell ref="A75:D75"/>
    <mergeCell ref="A76:D76"/>
    <mergeCell ref="A80:D80"/>
    <mergeCell ref="A37:D37"/>
    <mergeCell ref="A38:D38"/>
    <mergeCell ref="A39:D39"/>
    <mergeCell ref="E39:G39"/>
    <mergeCell ref="A42:H43"/>
    <mergeCell ref="A70:D70"/>
    <mergeCell ref="A27:D27"/>
    <mergeCell ref="A28:D28"/>
    <mergeCell ref="A29:D29"/>
    <mergeCell ref="A30:D30"/>
    <mergeCell ref="A32:D32"/>
    <mergeCell ref="A33:D33"/>
  </mergeCells>
  <pageMargins left="0.70866141732283472" right="0.2" top="0.25" bottom="0.39" header="0.2" footer="0.31496062992125984"/>
  <pageSetup paperSize="9" scale="95" orientation="portrait" verticalDpi="360" r:id="rId1"/>
  <rowBreaks count="1" manualBreakCount="1">
    <brk id="45" max="9" man="1"/>
  </rowBreaks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ZIOUCHE BOUALEM </vt:lpstr>
      <vt:lpstr>'ZIOUCHE BOUALEM 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2026-09-30T14:07:03Z</dcterms:created>
  <dcterms:modified xsi:type="dcterms:W3CDTF">2026-09-30T14:07:21Z</dcterms:modified>
</cp:coreProperties>
</file>